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0956323ce76a7d/Desktop/Assignment of shahista khan/"/>
    </mc:Choice>
  </mc:AlternateContent>
  <xr:revisionPtr revIDLastSave="1" documentId="8_{2614CD91-58FD-4CE6-B109-C583AFD0DB16}" xr6:coauthVersionLast="47" xr6:coauthVersionMax="47" xr10:uidLastSave="{9C6B8A6D-66A7-402D-AB20-156FA9425BC8}"/>
  <bookViews>
    <workbookView xWindow="-120" yWindow="-120" windowWidth="20730" windowHeight="11160" activeTab="1" xr2:uid="{053653F6-6C36-4048-8D37-60829CB0B3A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3" l="1"/>
  <c r="C32" i="3"/>
  <c r="D27" i="3"/>
  <c r="D26" i="3"/>
  <c r="D25" i="3"/>
  <c r="D17" i="3"/>
  <c r="D10" i="3"/>
  <c r="C6" i="3"/>
  <c r="C5" i="3"/>
  <c r="C4" i="3"/>
  <c r="C3" i="3"/>
  <c r="C2" i="3"/>
  <c r="D17" i="1"/>
  <c r="D16" i="1"/>
  <c r="D15" i="1"/>
  <c r="D14" i="1"/>
  <c r="C5" i="1"/>
</calcChain>
</file>

<file path=xl/sharedStrings.xml><?xml version="1.0" encoding="utf-8"?>
<sst xmlns="http://schemas.openxmlformats.org/spreadsheetml/2006/main" count="80" uniqueCount="65">
  <si>
    <t>1. Write a formula to check if the marks in cell B2 are greater than or equal to 40. If yes, return "Pass", otherwise "Fail".</t>
  </si>
  <si>
    <t xml:space="preserve">Student Name </t>
  </si>
  <si>
    <t>Marks</t>
  </si>
  <si>
    <t>Riya</t>
  </si>
  <si>
    <t>Siya</t>
  </si>
  <si>
    <t>Raju</t>
  </si>
  <si>
    <t xml:space="preserve">Rahul </t>
  </si>
  <si>
    <t>Ram</t>
  </si>
  <si>
    <t>2. company gives a bonus  if sales are above 40,000 and attendance is greater than or equal to 90%. Write a
formula to calculate whether the employee will get a bonus or not .</t>
  </si>
  <si>
    <t>Employee</t>
  </si>
  <si>
    <t>Sales</t>
  </si>
  <si>
    <t>Attendance</t>
  </si>
  <si>
    <t>Bonus</t>
  </si>
  <si>
    <t>Arjun</t>
  </si>
  <si>
    <t>Simran</t>
  </si>
  <si>
    <t>Rohit</t>
  </si>
  <si>
    <t>Anjali</t>
  </si>
  <si>
    <t>Student Name</t>
  </si>
  <si>
    <t>Answers</t>
  </si>
  <si>
    <t>3. Write a nested IF formula: If marks in B2 are ≥ 90 → "A" , ≥ 75 → "B" , ≥ 50 → "C" , otherwise "Fail" .</t>
  </si>
  <si>
    <t xml:space="preserve">Raj </t>
  </si>
  <si>
    <t>Neha</t>
  </si>
  <si>
    <t>Vivek</t>
  </si>
  <si>
    <t>Rani</t>
  </si>
  <si>
    <t>Sneha</t>
  </si>
  <si>
    <t>4. Find the Department of Employee ID = E103. Also explain which LOOKUP function is used and why?</t>
  </si>
  <si>
    <t>EmpID</t>
  </si>
  <si>
    <t>Name</t>
  </si>
  <si>
    <t>Department</t>
  </si>
  <si>
    <t>Answer</t>
  </si>
  <si>
    <t>Reason for provided answer</t>
  </si>
  <si>
    <t>E101</t>
  </si>
  <si>
    <t>IT</t>
  </si>
  <si>
    <t>As provided data is in vertical hence Vlookup function is to be used</t>
  </si>
  <si>
    <t>E102</t>
  </si>
  <si>
    <t>HR</t>
  </si>
  <si>
    <t>E103</t>
  </si>
  <si>
    <t>Roshni</t>
  </si>
  <si>
    <t>Finance</t>
  </si>
  <si>
    <t>E104</t>
  </si>
  <si>
    <t>Sejal</t>
  </si>
  <si>
    <t>5. A company has set the following commission structure for its sales team:</t>
  </si>
  <si>
    <t>Sales Amount</t>
  </si>
  <si>
    <t>Commission Rate</t>
  </si>
  <si>
    <t>Salesperson achieves</t>
  </si>
  <si>
    <t>Applicable commision rate</t>
  </si>
  <si>
    <t>Write an IF function to check whether an employee has Exceeded their allowed leave balance. If Leaves Taken &gt; Allowed Leaves, display "Exceeded". Otherwise, display "OK"</t>
  </si>
  <si>
    <t>Employee Name</t>
  </si>
  <si>
    <t xml:space="preserve">Leaves Taken </t>
  </si>
  <si>
    <t>Leaves Allowed</t>
  </si>
  <si>
    <t>Exceeded/OK</t>
  </si>
  <si>
    <t>Alex</t>
  </si>
  <si>
    <t>Bob</t>
  </si>
  <si>
    <t>Anna</t>
  </si>
  <si>
    <t>7. Find the salary of EmpID = E105 using INDEX-MATCH Function</t>
  </si>
  <si>
    <t xml:space="preserve">EmpID </t>
  </si>
  <si>
    <t>Salary</t>
  </si>
  <si>
    <t>E105</t>
  </si>
  <si>
    <t>E106</t>
  </si>
  <si>
    <t>8.  use the XLOOKUP function to find the Department of the employee with Emp ID = E303</t>
  </si>
  <si>
    <t>Ans</t>
  </si>
  <si>
    <t>E303</t>
  </si>
  <si>
    <t>E301</t>
  </si>
  <si>
    <t>Please refer Sheet 2 to check further questions. -&gt;</t>
  </si>
  <si>
    <t>6. The HR department maintains the following leave records of employees:bonus or not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</si>
</sst>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10" fontId="0" fillId="0" borderId="1" xfId="0" applyNumberFormat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3" xfId="0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2" borderId="4" xfId="0" applyFill="1" applyBorder="1"/>
    <xf numFmtId="0" fontId="0" fillId="2" borderId="2" xfId="0" applyFill="1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2" borderId="4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C4FE-87B9-4E3C-968A-117AA3C658EA}">
  <sheetPr>
    <pageSetUpPr fitToPage="1"/>
  </sheetPr>
  <dimension ref="A2:G21"/>
  <sheetViews>
    <sheetView workbookViewId="0">
      <selection activeCell="A22" sqref="A22"/>
    </sheetView>
  </sheetViews>
  <sheetFormatPr defaultColWidth="18.42578125" defaultRowHeight="15" x14ac:dyDescent="0.25"/>
  <cols>
    <col min="1" max="16384" width="18.42578125" style="1"/>
  </cols>
  <sheetData>
    <row r="2" spans="1:7" ht="24.75" customHeight="1" x14ac:dyDescent="0.25">
      <c r="A2" s="16" t="s">
        <v>0</v>
      </c>
      <c r="B2" s="16"/>
      <c r="C2" s="16"/>
      <c r="D2" s="16"/>
      <c r="E2" s="16"/>
      <c r="F2" s="16"/>
      <c r="G2" s="16"/>
    </row>
    <row r="4" spans="1:7" x14ac:dyDescent="0.25">
      <c r="A4" s="2" t="s">
        <v>1</v>
      </c>
      <c r="B4" s="2" t="s">
        <v>2</v>
      </c>
      <c r="C4" s="2"/>
    </row>
    <row r="5" spans="1:7" x14ac:dyDescent="0.25">
      <c r="A5" s="3" t="s">
        <v>3</v>
      </c>
      <c r="B5" s="3">
        <v>45</v>
      </c>
      <c r="C5" s="3" t="str">
        <f>IF(B5&gt;=40,"Pass","Fail")</f>
        <v>Pass</v>
      </c>
    </row>
    <row r="6" spans="1:7" x14ac:dyDescent="0.25">
      <c r="A6" s="3" t="s">
        <v>4</v>
      </c>
      <c r="B6" s="3">
        <v>72</v>
      </c>
      <c r="C6" s="3"/>
    </row>
    <row r="7" spans="1:7" x14ac:dyDescent="0.25">
      <c r="A7" s="3" t="s">
        <v>5</v>
      </c>
      <c r="B7" s="3">
        <v>55</v>
      </c>
      <c r="C7" s="3"/>
    </row>
    <row r="8" spans="1:7" x14ac:dyDescent="0.25">
      <c r="A8" s="3" t="s">
        <v>6</v>
      </c>
      <c r="B8" s="3">
        <v>80</v>
      </c>
      <c r="C8" s="3"/>
    </row>
    <row r="9" spans="1:7" x14ac:dyDescent="0.25">
      <c r="A9" s="3" t="s">
        <v>7</v>
      </c>
      <c r="B9" s="3">
        <v>30</v>
      </c>
      <c r="C9" s="3"/>
    </row>
    <row r="11" spans="1:7" ht="36" customHeight="1" x14ac:dyDescent="0.25">
      <c r="A11" s="17" t="s">
        <v>8</v>
      </c>
      <c r="B11" s="17"/>
      <c r="C11" s="17"/>
      <c r="D11" s="17"/>
      <c r="E11" s="17"/>
      <c r="F11" s="17"/>
      <c r="G11" s="17"/>
    </row>
    <row r="13" spans="1:7" x14ac:dyDescent="0.25">
      <c r="A13" s="4" t="s">
        <v>9</v>
      </c>
      <c r="B13" s="4" t="s">
        <v>10</v>
      </c>
      <c r="C13" s="4" t="s">
        <v>11</v>
      </c>
      <c r="D13" s="4" t="s">
        <v>12</v>
      </c>
    </row>
    <row r="14" spans="1:7" x14ac:dyDescent="0.25">
      <c r="A14" s="3" t="s">
        <v>13</v>
      </c>
      <c r="B14" s="3">
        <v>55000</v>
      </c>
      <c r="C14" s="3">
        <v>95</v>
      </c>
      <c r="D14" s="3" t="str">
        <f>IF(AND(B14&gt;40000,C14&gt;90), "Eligible for bonus", "Not eligible")</f>
        <v>Eligible for bonus</v>
      </c>
    </row>
    <row r="15" spans="1:7" x14ac:dyDescent="0.25">
      <c r="A15" s="3" t="s">
        <v>14</v>
      </c>
      <c r="B15" s="3">
        <v>65000</v>
      </c>
      <c r="C15" s="3">
        <v>85</v>
      </c>
      <c r="D15" s="3" t="str">
        <f t="shared" ref="D15:D17" si="0">IF(AND(B15&gt;40000,C15&gt;90), "Eligible for bonus", "Not eligible")</f>
        <v>Not eligible</v>
      </c>
    </row>
    <row r="16" spans="1:7" x14ac:dyDescent="0.25">
      <c r="A16" s="3" t="s">
        <v>15</v>
      </c>
      <c r="B16" s="3">
        <v>30000</v>
      </c>
      <c r="C16" s="3">
        <v>90</v>
      </c>
      <c r="D16" s="3" t="str">
        <f t="shared" si="0"/>
        <v>Not eligible</v>
      </c>
    </row>
    <row r="17" spans="1:5" x14ac:dyDescent="0.25">
      <c r="A17" s="3" t="s">
        <v>16</v>
      </c>
      <c r="B17" s="3">
        <v>25000</v>
      </c>
      <c r="C17" s="3">
        <v>65</v>
      </c>
      <c r="D17" s="3" t="str">
        <f t="shared" si="0"/>
        <v>Not eligible</v>
      </c>
    </row>
    <row r="19" spans="1:5" x14ac:dyDescent="0.25">
      <c r="A19"/>
    </row>
    <row r="20" spans="1:5" x14ac:dyDescent="0.25">
      <c r="A20" s="18" t="s">
        <v>63</v>
      </c>
      <c r="B20" s="18"/>
      <c r="C20" s="18"/>
      <c r="D20" s="18"/>
      <c r="E20" s="18"/>
    </row>
    <row r="21" spans="1:5" x14ac:dyDescent="0.25">
      <c r="A21" s="18"/>
      <c r="B21" s="18"/>
      <c r="C21" s="18"/>
      <c r="D21" s="18"/>
      <c r="E21" s="18"/>
    </row>
  </sheetData>
  <mergeCells count="3">
    <mergeCell ref="A2:G2"/>
    <mergeCell ref="A11:G11"/>
    <mergeCell ref="A20:E21"/>
  </mergeCells>
  <pageMargins left="0.7" right="0.7" top="0.75" bottom="0.75" header="0.3" footer="0.3"/>
  <pageSetup paperSize="9"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983F-85E1-4692-84A4-D4AD861A7AC6}">
  <sheetPr>
    <pageSetUpPr fitToPage="1"/>
  </sheetPr>
  <dimension ref="A1:I42"/>
  <sheetViews>
    <sheetView tabSelected="1" workbookViewId="0">
      <selection activeCell="C39" sqref="C39"/>
    </sheetView>
  </sheetViews>
  <sheetFormatPr defaultColWidth="15.7109375" defaultRowHeight="15" x14ac:dyDescent="0.25"/>
  <cols>
    <col min="2" max="2" width="18.42578125" customWidth="1"/>
    <col min="3" max="3" width="18.7109375" customWidth="1"/>
    <col min="4" max="4" width="25.28515625" customWidth="1"/>
    <col min="5" max="5" width="28.7109375" customWidth="1"/>
    <col min="7" max="7" width="19.28515625" customWidth="1"/>
  </cols>
  <sheetData>
    <row r="1" spans="1:8" ht="21" customHeight="1" x14ac:dyDescent="0.25">
      <c r="A1" s="5" t="s">
        <v>17</v>
      </c>
      <c r="B1" s="4" t="s">
        <v>2</v>
      </c>
      <c r="C1" s="5" t="s">
        <v>18</v>
      </c>
      <c r="D1" s="23" t="s">
        <v>19</v>
      </c>
      <c r="E1" s="24"/>
      <c r="F1" s="24"/>
      <c r="G1" s="24"/>
      <c r="H1" s="11"/>
    </row>
    <row r="2" spans="1:8" x14ac:dyDescent="0.25">
      <c r="A2" s="3" t="s">
        <v>20</v>
      </c>
      <c r="B2" s="3">
        <v>85</v>
      </c>
      <c r="C2" s="6" t="str">
        <f>IF(B2&gt;=90,"A",IF(B2&gt;=75,"B",IF(B3&gt;=50,"C","Failed")))</f>
        <v>B</v>
      </c>
    </row>
    <row r="3" spans="1:8" x14ac:dyDescent="0.25">
      <c r="A3" s="3" t="s">
        <v>21</v>
      </c>
      <c r="B3" s="3">
        <v>96</v>
      </c>
      <c r="C3" s="6" t="str">
        <f t="shared" ref="C3:C5" si="0">IF(B3&gt;=90,"A",IF(B3&gt;=75,"B",IF(B4&gt;=50,"C","Failed")))</f>
        <v>A</v>
      </c>
    </row>
    <row r="4" spans="1:8" x14ac:dyDescent="0.25">
      <c r="A4" s="3" t="s">
        <v>22</v>
      </c>
      <c r="B4" s="3">
        <v>57</v>
      </c>
      <c r="C4" s="6" t="str">
        <f t="shared" si="0"/>
        <v>C</v>
      </c>
    </row>
    <row r="5" spans="1:8" x14ac:dyDescent="0.25">
      <c r="A5" s="3" t="s">
        <v>23</v>
      </c>
      <c r="B5" s="3">
        <v>92</v>
      </c>
      <c r="C5" s="6" t="str">
        <f t="shared" si="0"/>
        <v>A</v>
      </c>
    </row>
    <row r="6" spans="1:8" x14ac:dyDescent="0.25">
      <c r="A6" s="3" t="s">
        <v>24</v>
      </c>
      <c r="B6" s="3">
        <v>75</v>
      </c>
      <c r="C6" s="6" t="str">
        <f>IF(B6&gt;=90,"A",IF(B6&gt;=75,"B",IF(#REF!&gt;=50,"C","Failed")))</f>
        <v>B</v>
      </c>
    </row>
    <row r="8" spans="1:8" ht="25.5" customHeight="1" x14ac:dyDescent="0.25">
      <c r="A8" s="27" t="s">
        <v>25</v>
      </c>
      <c r="B8" s="27"/>
      <c r="C8" s="27"/>
      <c r="D8" s="27"/>
      <c r="E8" s="27"/>
      <c r="F8" s="11"/>
    </row>
    <row r="9" spans="1:8" ht="21" customHeight="1" x14ac:dyDescent="0.25">
      <c r="A9" s="5" t="s">
        <v>26</v>
      </c>
      <c r="B9" s="5" t="s">
        <v>27</v>
      </c>
      <c r="C9" s="5" t="s">
        <v>28</v>
      </c>
      <c r="D9" s="5" t="s">
        <v>29</v>
      </c>
      <c r="E9" s="5" t="s">
        <v>30</v>
      </c>
    </row>
    <row r="10" spans="1:8" x14ac:dyDescent="0.25">
      <c r="A10" s="6" t="s">
        <v>31</v>
      </c>
      <c r="B10" s="6" t="s">
        <v>5</v>
      </c>
      <c r="C10" s="6" t="s">
        <v>32</v>
      </c>
      <c r="D10" s="6" t="str">
        <f>VLOOKUP(A12,A10:C13,3)</f>
        <v>Finance</v>
      </c>
      <c r="E10" s="20" t="s">
        <v>33</v>
      </c>
    </row>
    <row r="11" spans="1:8" x14ac:dyDescent="0.25">
      <c r="A11" s="6" t="s">
        <v>34</v>
      </c>
      <c r="B11" s="6" t="s">
        <v>3</v>
      </c>
      <c r="C11" s="6" t="s">
        <v>35</v>
      </c>
      <c r="D11" s="6"/>
      <c r="E11" s="20"/>
    </row>
    <row r="12" spans="1:8" x14ac:dyDescent="0.25">
      <c r="A12" s="6" t="s">
        <v>36</v>
      </c>
      <c r="B12" s="6" t="s">
        <v>37</v>
      </c>
      <c r="C12" s="6" t="s">
        <v>38</v>
      </c>
      <c r="D12" s="6"/>
      <c r="E12" s="20"/>
    </row>
    <row r="13" spans="1:8" x14ac:dyDescent="0.25">
      <c r="A13" s="6" t="s">
        <v>39</v>
      </c>
      <c r="B13" s="6" t="s">
        <v>40</v>
      </c>
      <c r="C13" s="6" t="s">
        <v>10</v>
      </c>
      <c r="D13" s="6"/>
      <c r="E13" s="20"/>
    </row>
    <row r="14" spans="1:8" ht="25.5" customHeight="1" x14ac:dyDescent="0.25"/>
    <row r="15" spans="1:8" ht="29.25" customHeight="1" x14ac:dyDescent="0.25">
      <c r="A15" s="25" t="s">
        <v>41</v>
      </c>
      <c r="B15" s="26"/>
      <c r="C15" s="26"/>
      <c r="D15" s="26"/>
      <c r="E15" s="11"/>
    </row>
    <row r="16" spans="1:8" ht="28.5" customHeight="1" x14ac:dyDescent="0.25">
      <c r="A16" s="7" t="s">
        <v>42</v>
      </c>
      <c r="B16" s="7" t="s">
        <v>43</v>
      </c>
      <c r="C16" s="7" t="s">
        <v>44</v>
      </c>
      <c r="D16" s="7" t="s">
        <v>45</v>
      </c>
    </row>
    <row r="17" spans="1:9" x14ac:dyDescent="0.25">
      <c r="A17" s="6">
        <v>0</v>
      </c>
      <c r="B17" s="8">
        <v>0.05</v>
      </c>
      <c r="C17" s="6">
        <v>45000</v>
      </c>
      <c r="D17" s="8">
        <f>VLOOKUP(C17,A17:B20,2,TRUE)</f>
        <v>0.1</v>
      </c>
    </row>
    <row r="18" spans="1:9" x14ac:dyDescent="0.25">
      <c r="A18" s="6">
        <v>20000</v>
      </c>
      <c r="B18" s="8">
        <v>0.1</v>
      </c>
      <c r="C18" s="6"/>
      <c r="D18" s="6"/>
    </row>
    <row r="19" spans="1:9" x14ac:dyDescent="0.25">
      <c r="A19" s="6">
        <v>50000</v>
      </c>
      <c r="B19" s="8">
        <v>0.15</v>
      </c>
      <c r="C19" s="6"/>
      <c r="D19" s="6"/>
    </row>
    <row r="20" spans="1:9" x14ac:dyDescent="0.25">
      <c r="A20" s="6">
        <v>80000</v>
      </c>
      <c r="B20" s="8">
        <v>0.2</v>
      </c>
      <c r="C20" s="6"/>
      <c r="D20" s="6"/>
    </row>
    <row r="22" spans="1:9" ht="28.5" customHeight="1" x14ac:dyDescent="0.25">
      <c r="A22" s="14" t="s">
        <v>64</v>
      </c>
      <c r="B22" s="15"/>
      <c r="C22" s="15"/>
      <c r="D22" s="15"/>
      <c r="E22" s="15"/>
      <c r="F22" s="11"/>
    </row>
    <row r="23" spans="1:9" ht="40.5" customHeight="1" x14ac:dyDescent="0.25">
      <c r="A23" s="21" t="s">
        <v>46</v>
      </c>
      <c r="B23" s="22"/>
      <c r="C23" s="22"/>
      <c r="D23" s="22"/>
      <c r="E23" s="22"/>
      <c r="F23" s="13"/>
      <c r="G23" s="12"/>
      <c r="H23" s="12"/>
      <c r="I23" s="12"/>
    </row>
    <row r="24" spans="1:9" ht="21.75" customHeight="1" x14ac:dyDescent="0.25">
      <c r="A24" s="9" t="s">
        <v>47</v>
      </c>
      <c r="B24" s="9" t="s">
        <v>48</v>
      </c>
      <c r="C24" s="9" t="s">
        <v>49</v>
      </c>
      <c r="D24" s="9" t="s">
        <v>50</v>
      </c>
    </row>
    <row r="25" spans="1:9" x14ac:dyDescent="0.25">
      <c r="A25" s="3" t="s">
        <v>51</v>
      </c>
      <c r="B25" s="3">
        <v>10</v>
      </c>
      <c r="C25" s="3">
        <v>12</v>
      </c>
      <c r="D25" s="6" t="str">
        <f>IF(B25&gt;C25,"Exceeded","OK")</f>
        <v>OK</v>
      </c>
    </row>
    <row r="26" spans="1:9" x14ac:dyDescent="0.25">
      <c r="A26" s="3" t="s">
        <v>52</v>
      </c>
      <c r="B26" s="3">
        <v>10</v>
      </c>
      <c r="C26" s="3">
        <v>15</v>
      </c>
      <c r="D26" s="6" t="str">
        <f t="shared" ref="D26:D27" si="1">IF(B26&gt;C26,"Exceeded","OK")</f>
        <v>OK</v>
      </c>
    </row>
    <row r="27" spans="1:9" x14ac:dyDescent="0.25">
      <c r="A27" s="3" t="s">
        <v>53</v>
      </c>
      <c r="B27" s="3">
        <v>8</v>
      </c>
      <c r="C27" s="3">
        <v>12</v>
      </c>
      <c r="D27" s="6" t="str">
        <f t="shared" si="1"/>
        <v>OK</v>
      </c>
    </row>
    <row r="29" spans="1:9" ht="21" customHeight="1" x14ac:dyDescent="0.25">
      <c r="A29" s="19" t="s">
        <v>54</v>
      </c>
      <c r="B29" s="19"/>
      <c r="C29" s="19"/>
      <c r="D29" s="19"/>
      <c r="E29" s="19"/>
    </row>
    <row r="30" spans="1:9" ht="28.5" customHeight="1" x14ac:dyDescent="0.25">
      <c r="A30" s="10" t="s">
        <v>55</v>
      </c>
      <c r="B30" s="4" t="s">
        <v>56</v>
      </c>
      <c r="C30" s="5" t="s">
        <v>29</v>
      </c>
    </row>
    <row r="31" spans="1:9" x14ac:dyDescent="0.25">
      <c r="A31" s="3" t="s">
        <v>39</v>
      </c>
      <c r="B31" s="3">
        <v>55000</v>
      </c>
      <c r="C31" s="6"/>
    </row>
    <row r="32" spans="1:9" x14ac:dyDescent="0.25">
      <c r="A32" s="3" t="s">
        <v>57</v>
      </c>
      <c r="B32" s="3">
        <v>72000</v>
      </c>
      <c r="C32" s="6">
        <f>INDEX(A31:B34,2,MATCH(A32,A31:A34))</f>
        <v>72000</v>
      </c>
    </row>
    <row r="33" spans="1:5" x14ac:dyDescent="0.25">
      <c r="A33" s="3" t="s">
        <v>58</v>
      </c>
      <c r="B33" s="3">
        <v>62000</v>
      </c>
      <c r="C33" s="6"/>
    </row>
    <row r="34" spans="1:5" x14ac:dyDescent="0.25">
      <c r="A34" s="3" t="s">
        <v>34</v>
      </c>
      <c r="B34" s="3">
        <v>41000</v>
      </c>
      <c r="C34" s="6"/>
    </row>
    <row r="36" spans="1:5" x14ac:dyDescent="0.25">
      <c r="A36" s="19" t="s">
        <v>59</v>
      </c>
      <c r="B36" s="19"/>
      <c r="C36" s="19"/>
      <c r="D36" s="19"/>
      <c r="E36" s="19"/>
    </row>
    <row r="38" spans="1:5" x14ac:dyDescent="0.25">
      <c r="A38" s="6" t="s">
        <v>26</v>
      </c>
      <c r="B38" s="6" t="s">
        <v>56</v>
      </c>
      <c r="C38" s="6" t="s">
        <v>60</v>
      </c>
    </row>
    <row r="39" spans="1:5" x14ac:dyDescent="0.25">
      <c r="A39" s="6" t="s">
        <v>31</v>
      </c>
      <c r="B39" s="6" t="s">
        <v>35</v>
      </c>
      <c r="C39" s="6" t="str">
        <f>_xlfn.XLOOKUP(A40,A39:A42,B39:B42)</f>
        <v>IT</v>
      </c>
    </row>
    <row r="40" spans="1:5" x14ac:dyDescent="0.25">
      <c r="A40" s="6" t="s">
        <v>61</v>
      </c>
      <c r="B40" s="6" t="s">
        <v>32</v>
      </c>
      <c r="C40" s="6"/>
    </row>
    <row r="41" spans="1:5" x14ac:dyDescent="0.25">
      <c r="A41" s="6" t="s">
        <v>58</v>
      </c>
      <c r="B41" s="6" t="s">
        <v>10</v>
      </c>
      <c r="C41" s="6"/>
    </row>
    <row r="42" spans="1:5" x14ac:dyDescent="0.25">
      <c r="A42" s="6" t="s">
        <v>62</v>
      </c>
      <c r="B42" s="6" t="s">
        <v>38</v>
      </c>
      <c r="C42" s="6"/>
    </row>
  </sheetData>
  <mergeCells count="7">
    <mergeCell ref="A29:E29"/>
    <mergeCell ref="A36:E36"/>
    <mergeCell ref="E10:E13"/>
    <mergeCell ref="A23:E23"/>
    <mergeCell ref="D1:G1"/>
    <mergeCell ref="A15:D15"/>
    <mergeCell ref="A8:E8"/>
  </mergeCells>
  <pageMargins left="0.25" right="0.25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Shahista Khan</dc:creator>
  <cp:lastModifiedBy>Shahista Khan</cp:lastModifiedBy>
  <cp:lastPrinted>2025-11-19T15:16:46Z</cp:lastPrinted>
  <dcterms:created xsi:type="dcterms:W3CDTF">2025-11-19T14:53:59Z</dcterms:created>
  <dcterms:modified xsi:type="dcterms:W3CDTF">2025-11-19T15:49:29Z</dcterms:modified>
</cp:coreProperties>
</file>